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teve/Repositories/module-demco-attribute-data/fixtures/"/>
    </mc:Choice>
  </mc:AlternateContent>
  <xr:revisionPtr revIDLastSave="0" documentId="8_{43015A1E-BD21-B641-A682-91DC4D343CAB}" xr6:coauthVersionLast="34" xr6:coauthVersionMax="34" xr10:uidLastSave="{00000000-0000-0000-0000-000000000000}"/>
  <bookViews>
    <workbookView xWindow="2780" yWindow="1560" windowWidth="28040" windowHeight="17440" xr2:uid="{00000000-000D-0000-FFFF-FFFF00000000}"/>
  </bookViews>
  <sheets>
    <sheet name="attributes" sheetId="1" r:id="rId1"/>
  </sheets>
  <calcPr calcId="162913"/>
</workbook>
</file>

<file path=xl/calcChain.xml><?xml version="1.0" encoding="utf-8"?>
<calcChain xmlns="http://schemas.openxmlformats.org/spreadsheetml/2006/main">
  <c r="G15" i="1" l="1"/>
  <c r="P15" i="1"/>
  <c r="Q15" i="1"/>
  <c r="C15" i="1"/>
  <c r="F15" i="1"/>
  <c r="I15" i="1"/>
  <c r="L15" i="1"/>
  <c r="M15" i="1"/>
  <c r="N15" i="1"/>
  <c r="O15" i="1"/>
  <c r="S15" i="1"/>
  <c r="T15" i="1"/>
  <c r="U15" i="1"/>
  <c r="V15" i="1"/>
  <c r="W15" i="1"/>
  <c r="G14" i="1"/>
  <c r="P14" i="1"/>
  <c r="Q14" i="1"/>
  <c r="C14" i="1"/>
  <c r="F14" i="1"/>
  <c r="I14" i="1"/>
  <c r="L14" i="1"/>
  <c r="M14" i="1"/>
  <c r="N14" i="1"/>
  <c r="O14" i="1"/>
  <c r="S14" i="1"/>
  <c r="T14" i="1"/>
  <c r="U14" i="1"/>
  <c r="V14" i="1"/>
  <c r="W14" i="1"/>
  <c r="G13" i="1"/>
  <c r="P13" i="1"/>
  <c r="Q13" i="1"/>
  <c r="C13" i="1"/>
  <c r="F13" i="1"/>
  <c r="I13" i="1"/>
  <c r="L13" i="1"/>
  <c r="M13" i="1"/>
  <c r="N13" i="1"/>
  <c r="O13" i="1"/>
  <c r="S13" i="1"/>
  <c r="T13" i="1"/>
  <c r="U13" i="1"/>
  <c r="V13" i="1"/>
  <c r="W13" i="1"/>
  <c r="G12" i="1"/>
  <c r="P12" i="1"/>
  <c r="Q12" i="1"/>
  <c r="C12" i="1"/>
  <c r="F12" i="1"/>
  <c r="I12" i="1"/>
  <c r="L12" i="1"/>
  <c r="M12" i="1"/>
  <c r="N12" i="1"/>
  <c r="O12" i="1"/>
  <c r="S12" i="1"/>
  <c r="T12" i="1"/>
  <c r="U12" i="1"/>
  <c r="V12" i="1"/>
  <c r="W12" i="1"/>
  <c r="C11" i="1"/>
  <c r="F11" i="1"/>
  <c r="G11" i="1"/>
  <c r="I11" i="1"/>
  <c r="L11" i="1"/>
  <c r="M11" i="1"/>
  <c r="N11" i="1"/>
  <c r="O11" i="1"/>
  <c r="P11" i="1"/>
  <c r="Q11" i="1"/>
  <c r="S11" i="1"/>
  <c r="T11" i="1"/>
  <c r="U11" i="1"/>
  <c r="V11" i="1"/>
  <c r="W11" i="1"/>
  <c r="G10" i="1"/>
  <c r="I10" i="1"/>
  <c r="L10" i="1"/>
  <c r="M10" i="1"/>
  <c r="N10" i="1"/>
  <c r="O10" i="1"/>
  <c r="P10" i="1"/>
  <c r="Q10" i="1"/>
  <c r="S10" i="1"/>
  <c r="T10" i="1"/>
  <c r="U10" i="1"/>
  <c r="V10" i="1"/>
  <c r="W10" i="1"/>
  <c r="C10" i="1"/>
  <c r="F10" i="1"/>
  <c r="G9" i="1"/>
  <c r="P9" i="1"/>
  <c r="Q9" i="1"/>
  <c r="C9" i="1"/>
  <c r="F9" i="1"/>
  <c r="I9" i="1"/>
  <c r="L9" i="1"/>
  <c r="M9" i="1"/>
  <c r="N9" i="1"/>
  <c r="O9" i="1"/>
  <c r="S9" i="1"/>
  <c r="T9" i="1"/>
  <c r="U9" i="1"/>
  <c r="V9" i="1"/>
  <c r="W9" i="1"/>
  <c r="G8" i="1"/>
  <c r="P8" i="1"/>
  <c r="Q8" i="1"/>
  <c r="C8" i="1"/>
  <c r="F8" i="1"/>
  <c r="I8" i="1"/>
  <c r="L8" i="1"/>
  <c r="M8" i="1"/>
  <c r="N8" i="1"/>
  <c r="O8" i="1"/>
  <c r="S8" i="1"/>
  <c r="T8" i="1"/>
  <c r="U8" i="1"/>
  <c r="V8" i="1"/>
  <c r="W8" i="1"/>
  <c r="G7" i="1"/>
  <c r="P7" i="1"/>
  <c r="Q7" i="1"/>
  <c r="C7" i="1"/>
  <c r="F7" i="1"/>
  <c r="I7" i="1"/>
  <c r="L7" i="1"/>
  <c r="M7" i="1"/>
  <c r="N7" i="1"/>
  <c r="O7" i="1"/>
  <c r="S7" i="1"/>
  <c r="T7" i="1"/>
  <c r="U7" i="1"/>
  <c r="V7" i="1"/>
  <c r="W7" i="1"/>
  <c r="S6" i="1"/>
  <c r="O6" i="1"/>
  <c r="M6" i="1"/>
  <c r="G6" i="1"/>
  <c r="P6" i="1"/>
  <c r="Q6" i="1"/>
  <c r="C6" i="1"/>
  <c r="F6" i="1"/>
  <c r="I6" i="1"/>
  <c r="L6" i="1"/>
  <c r="N6" i="1"/>
  <c r="T6" i="1"/>
  <c r="U6" i="1"/>
  <c r="V6" i="1"/>
  <c r="W6" i="1"/>
  <c r="G3" i="1"/>
  <c r="G4" i="1"/>
  <c r="G5" i="1"/>
  <c r="G2" i="1"/>
  <c r="F4" i="1"/>
  <c r="F3" i="1"/>
  <c r="F2" i="1"/>
  <c r="F5" i="1"/>
  <c r="Q3" i="1"/>
  <c r="P3" i="1"/>
  <c r="P4" i="1"/>
  <c r="Q2" i="1"/>
  <c r="P2" i="1"/>
  <c r="M2" i="1"/>
  <c r="C3" i="1"/>
  <c r="I3" i="1"/>
  <c r="L3" i="1"/>
  <c r="M3" i="1"/>
  <c r="N3" i="1"/>
  <c r="O3" i="1"/>
  <c r="S3" i="1"/>
  <c r="T3" i="1"/>
  <c r="U3" i="1"/>
  <c r="V3" i="1"/>
  <c r="W3" i="1"/>
  <c r="Q4" i="1"/>
  <c r="C4" i="1"/>
  <c r="I4" i="1"/>
  <c r="L4" i="1"/>
  <c r="N4" i="1"/>
  <c r="T4" i="1"/>
  <c r="U4" i="1"/>
  <c r="V4" i="1"/>
  <c r="W4" i="1"/>
  <c r="C5" i="1"/>
  <c r="I5" i="1"/>
  <c r="L5" i="1"/>
  <c r="M5" i="1"/>
  <c r="N5" i="1"/>
  <c r="O5" i="1"/>
  <c r="S5" i="1"/>
  <c r="T5" i="1"/>
  <c r="U5" i="1"/>
  <c r="V5" i="1"/>
  <c r="W5" i="1"/>
  <c r="V2" i="1"/>
  <c r="T2" i="1"/>
  <c r="U2" i="1"/>
  <c r="S2" i="1"/>
  <c r="O2" i="1"/>
  <c r="W2" i="1"/>
  <c r="N2" i="1"/>
  <c r="L2" i="1"/>
  <c r="I2" i="1"/>
  <c r="C2" i="1"/>
  <c r="P5" i="1" l="1"/>
  <c r="Q5" i="1"/>
</calcChain>
</file>

<file path=xl/sharedStrings.xml><?xml version="1.0" encoding="utf-8"?>
<sst xmlns="http://schemas.openxmlformats.org/spreadsheetml/2006/main" count="77" uniqueCount="57">
  <si>
    <t>frontend_label</t>
  </si>
  <si>
    <t>frontend_input</t>
  </si>
  <si>
    <t>is_required</t>
  </si>
  <si>
    <t>option</t>
  </si>
  <si>
    <t>default</t>
  </si>
  <si>
    <t>attribute_code</t>
  </si>
  <si>
    <t>is_global</t>
  </si>
  <si>
    <t>default_value_text</t>
  </si>
  <si>
    <t>default_value_yesno</t>
  </si>
  <si>
    <t>default_value_date</t>
  </si>
  <si>
    <t>default_value_textarea</t>
  </si>
  <si>
    <t>is_unique</t>
  </si>
  <si>
    <t>is_searchable</t>
  </si>
  <si>
    <t>is_visible_in_advanced_search</t>
  </si>
  <si>
    <t>is_comparable</t>
  </si>
  <si>
    <t>is_filterable</t>
  </si>
  <si>
    <t>is_filterable_in_search</t>
  </si>
  <si>
    <t>position</t>
  </si>
  <si>
    <t>is_used_for_promo_rules</t>
  </si>
  <si>
    <t>is_html_allowed_on_front</t>
  </si>
  <si>
    <t>is_visible_on_front</t>
  </si>
  <si>
    <t>used_in_product_listing</t>
  </si>
  <si>
    <t>used_for_sort_by</t>
  </si>
  <si>
    <t>attribute_set</t>
  </si>
  <si>
    <t>text</t>
  </si>
  <si>
    <t>Product Name</t>
  </si>
  <si>
    <t>ERP Category</t>
  </si>
  <si>
    <t>Demco General</t>
  </si>
  <si>
    <t>Availability</t>
  </si>
  <si>
    <t>textarea</t>
  </si>
  <si>
    <t>Table Style</t>
  </si>
  <si>
    <t>2 Casters/2 Glides|4 Adjustable Glides|4 Casters</t>
  </si>
  <si>
    <t>select</t>
  </si>
  <si>
    <t>Table Height</t>
  </si>
  <si>
    <t>25" H|27" H|29" H</t>
  </si>
  <si>
    <t>Chair Color</t>
  </si>
  <si>
    <t>Black|Blue|Green|Orange|Red|Silver|White|Yellow</t>
  </si>
  <si>
    <t>Demco Furniture</t>
  </si>
  <si>
    <t>Book Support Size</t>
  </si>
  <si>
    <t>Oversize: 8-3/4"H x 5-1/2"W x 7-1/4"D|Standard: 5-1/2"H x 4-3/4"W x 5-1/3"D</t>
  </si>
  <si>
    <t>Demco Library Supplies</t>
  </si>
  <si>
    <t>Book Support Base Material</t>
  </si>
  <si>
    <t>Cork|Foam|Magnetic|Plain|Rubber</t>
  </si>
  <si>
    <t>Book Support Color</t>
  </si>
  <si>
    <t>Bahama Blue|Black|Burgundy|Cardinal Red|Dublin Green|Gray|Ivory|Lilac|Orange Zest|Royal Blue|Spruce|Sun Drop|Tan</t>
  </si>
  <si>
    <t>Shelving Configuration</t>
  </si>
  <si>
    <t>Add-on|Starter</t>
  </si>
  <si>
    <t>Demco Shelving</t>
  </si>
  <si>
    <t>Shelf Size</t>
  </si>
  <si>
    <t>42"H; 3 Shelves, 2 adj.|48"H; 3 Shelves, 2 adj.|60"H; 4 Shelves, 3 adj.|72"H; 5 Shelves, 4 adj.|82"H; 6 Shelves, 5 adj.</t>
  </si>
  <si>
    <t>Shelf Depth</t>
  </si>
  <si>
    <t>10"W|12"W</t>
  </si>
  <si>
    <t>Label Finish</t>
  </si>
  <si>
    <t>Flourescent Yellow, Matte|Full Color, Glossy|Full Color, Matte</t>
  </si>
  <si>
    <t>Demco Labels</t>
  </si>
  <si>
    <t>Label Position</t>
  </si>
  <si>
    <t>Centered|Flush Left|N/A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</si>
</sst>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5"/>
  <sheetViews>
    <sheetView tabSelected="1" zoomScale="154" zoomScaleNormal="154" workbookViewId="0">
      <selection activeCell="A15" sqref="A15"/>
    </sheetView>
  </sheetViews>
  <sheetFormatPr baseColWidth="10" defaultRowHeight="16" x14ac:dyDescent="0.2"/>
  <cols>
    <col min="1" max="1" width="35.83203125" bestFit="1" customWidth="1"/>
    <col min="2" max="2" width="13.33203125" bestFit="1" customWidth="1"/>
    <col min="4" max="4" width="106" bestFit="1" customWidth="1"/>
    <col min="6" max="6" width="32.1640625" bestFit="1" customWidth="1"/>
    <col min="8" max="8" width="16.6640625" bestFit="1" customWidth="1"/>
    <col min="9" max="9" width="18.1640625" bestFit="1" customWidth="1"/>
    <col min="10" max="10" width="17.1640625" bestFit="1" customWidth="1"/>
    <col min="11" max="11" width="20.33203125" bestFit="1" customWidth="1"/>
    <col min="14" max="14" width="26.6640625" bestFit="1" customWidth="1"/>
    <col min="16" max="16" width="11" bestFit="1" customWidth="1"/>
    <col min="17" max="17" width="20" bestFit="1" customWidth="1"/>
    <col min="19" max="19" width="22.33203125" bestFit="1" customWidth="1"/>
    <col min="20" max="20" width="23.1640625" bestFit="1" customWidth="1"/>
    <col min="21" max="21" width="16.83203125" bestFit="1" customWidth="1"/>
    <col min="22" max="22" width="20.83203125" bestFit="1" customWidth="1"/>
    <col min="23" max="23" width="15.33203125" bestFit="1" customWidth="1"/>
    <col min="24" max="24" width="26.83203125" bestFit="1" customWidth="1"/>
  </cols>
  <sheetData>
    <row r="1" spans="1:2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">
      <c r="A2" s="1" t="s">
        <v>25</v>
      </c>
      <c r="B2" s="1" t="s">
        <v>24</v>
      </c>
      <c r="C2" s="1">
        <f>IF($A2&lt;&gt;"",0,"")</f>
        <v>0</v>
      </c>
      <c r="D2" s="1"/>
      <c r="E2" s="1"/>
      <c r="F2" s="1" t="str">
        <f t="shared" ref="F2:F4" si="0">LOWER(SUBSTITUTE("demco_"&amp;$A2," ","_"))</f>
        <v>demco_product_name</v>
      </c>
      <c r="G2" s="1">
        <f>IF($A2&lt;&gt;"",IF(OR($B2="select",$B2="multiselect"),1,0),"")</f>
        <v>0</v>
      </c>
      <c r="H2" s="1"/>
      <c r="I2" s="1">
        <f>IF($A2&lt;&gt;"",0,"")</f>
        <v>0</v>
      </c>
      <c r="J2" s="1"/>
      <c r="K2" s="1"/>
      <c r="L2" s="1">
        <f>IF($A2&lt;&gt;"",0,"")</f>
        <v>0</v>
      </c>
      <c r="M2" s="1">
        <f>IF($A2&lt;&gt;"",1,"")</f>
        <v>1</v>
      </c>
      <c r="N2" s="1">
        <f>IF($A2&lt;&gt;"",0,"")</f>
        <v>0</v>
      </c>
      <c r="O2" s="1">
        <f>IF($A2&lt;&gt;"",1,"")</f>
        <v>1</v>
      </c>
      <c r="P2" s="1">
        <f>IF($A2&lt;&gt;"",IF($B2="dropdown",1,0),"")</f>
        <v>0</v>
      </c>
      <c r="Q2" s="1">
        <f>IF($A2&lt;&gt;"",IF($B2="dropdown",1,0),"")</f>
        <v>0</v>
      </c>
      <c r="R2" s="1"/>
      <c r="S2" s="1">
        <f>IF($A2&lt;&gt;"",1,"")</f>
        <v>1</v>
      </c>
      <c r="T2" s="1">
        <f>IF($A2&lt;&gt;"",1,"")</f>
        <v>1</v>
      </c>
      <c r="U2" s="1">
        <f>IF($A2&lt;&gt;"",1,"")</f>
        <v>1</v>
      </c>
      <c r="V2" s="1">
        <f>IF($A2&lt;&gt;"",0,"")</f>
        <v>0</v>
      </c>
      <c r="W2" s="1">
        <f>IF($A2&lt;&gt;"",0,"")</f>
        <v>0</v>
      </c>
      <c r="X2" s="2" t="s">
        <v>27</v>
      </c>
    </row>
    <row r="3" spans="1:24" ht="17" customHeight="1" x14ac:dyDescent="0.2">
      <c r="A3" s="1" t="s">
        <v>26</v>
      </c>
      <c r="B3" s="1" t="s">
        <v>24</v>
      </c>
      <c r="C3" s="1">
        <f t="shared" ref="C3:C15" si="1">IF($A3&lt;&gt;"",0,"")</f>
        <v>0</v>
      </c>
      <c r="D3" s="1"/>
      <c r="E3" s="1"/>
      <c r="F3" s="1" t="str">
        <f t="shared" si="0"/>
        <v>demco_erp_category</v>
      </c>
      <c r="G3" s="1">
        <f t="shared" ref="G3:G15" si="2">IF($A3&lt;&gt;"",IF(OR($B3="select",$B3="multiselect"),1,0),"")</f>
        <v>0</v>
      </c>
      <c r="H3" s="1"/>
      <c r="I3" s="1">
        <f t="shared" ref="I3:I15" si="3">IF($A3&lt;&gt;"",0,"")</f>
        <v>0</v>
      </c>
      <c r="J3" s="1"/>
      <c r="K3" s="1"/>
      <c r="L3" s="1">
        <f t="shared" ref="L3:L15" si="4">IF($A3&lt;&gt;"",0,"")</f>
        <v>0</v>
      </c>
      <c r="M3" s="1">
        <f t="shared" ref="M3:M15" si="5">IF($A3&lt;&gt;"",1,"")</f>
        <v>1</v>
      </c>
      <c r="N3" s="1">
        <f t="shared" ref="N3:N15" si="6">IF($A3&lt;&gt;"",0,"")</f>
        <v>0</v>
      </c>
      <c r="O3" s="1">
        <f t="shared" ref="O3:O15" si="7">IF($A3&lt;&gt;"",1,"")</f>
        <v>1</v>
      </c>
      <c r="P3" s="1">
        <f t="shared" ref="P3:Q15" si="8">IF($A3&lt;&gt;"",IF($B3="dropdown",1,0),"")</f>
        <v>0</v>
      </c>
      <c r="Q3" s="1">
        <f t="shared" si="8"/>
        <v>0</v>
      </c>
      <c r="R3" s="1"/>
      <c r="S3" s="1">
        <f t="shared" ref="S3:U15" si="9">IF($A3&lt;&gt;"",1,"")</f>
        <v>1</v>
      </c>
      <c r="T3" s="1">
        <f t="shared" si="9"/>
        <v>1</v>
      </c>
      <c r="U3" s="1">
        <f t="shared" si="9"/>
        <v>1</v>
      </c>
      <c r="V3" s="1">
        <f t="shared" ref="V3:W15" si="10">IF($A3&lt;&gt;"",0,"")</f>
        <v>0</v>
      </c>
      <c r="W3" s="1">
        <f t="shared" si="10"/>
        <v>0</v>
      </c>
      <c r="X3" s="2" t="s">
        <v>27</v>
      </c>
    </row>
    <row r="4" spans="1:24" x14ac:dyDescent="0.2">
      <c r="A4" s="1" t="s">
        <v>28</v>
      </c>
      <c r="B4" s="1" t="s">
        <v>29</v>
      </c>
      <c r="C4" s="1">
        <f t="shared" si="1"/>
        <v>0</v>
      </c>
      <c r="D4" s="1"/>
      <c r="E4" s="1"/>
      <c r="F4" s="1" t="str">
        <f t="shared" si="0"/>
        <v>demco_availability</v>
      </c>
      <c r="G4" s="1">
        <f t="shared" si="2"/>
        <v>0</v>
      </c>
      <c r="H4" s="1"/>
      <c r="I4" s="1">
        <f t="shared" si="3"/>
        <v>0</v>
      </c>
      <c r="J4" s="1"/>
      <c r="K4" s="1"/>
      <c r="L4" s="1">
        <f t="shared" si="4"/>
        <v>0</v>
      </c>
      <c r="M4" s="1">
        <v>0</v>
      </c>
      <c r="N4" s="1">
        <f t="shared" si="6"/>
        <v>0</v>
      </c>
      <c r="O4" s="1">
        <v>0</v>
      </c>
      <c r="P4" s="1">
        <f t="shared" si="8"/>
        <v>0</v>
      </c>
      <c r="Q4" s="1">
        <f t="shared" si="8"/>
        <v>0</v>
      </c>
      <c r="R4" s="1"/>
      <c r="S4" s="1">
        <v>0</v>
      </c>
      <c r="T4" s="1">
        <f t="shared" si="9"/>
        <v>1</v>
      </c>
      <c r="U4" s="1">
        <f t="shared" si="9"/>
        <v>1</v>
      </c>
      <c r="V4" s="1">
        <f t="shared" si="10"/>
        <v>0</v>
      </c>
      <c r="W4" s="1">
        <f t="shared" si="10"/>
        <v>0</v>
      </c>
      <c r="X4" s="2" t="s">
        <v>27</v>
      </c>
    </row>
    <row r="5" spans="1:24" x14ac:dyDescent="0.2">
      <c r="A5" s="1" t="s">
        <v>30</v>
      </c>
      <c r="B5" s="1" t="s">
        <v>32</v>
      </c>
      <c r="C5" s="1">
        <f t="shared" si="1"/>
        <v>0</v>
      </c>
      <c r="D5" s="2" t="s">
        <v>31</v>
      </c>
      <c r="E5" s="1"/>
      <c r="F5" s="1" t="str">
        <f>LOWER(SUBSTITUTE("demco_"&amp;$A5," ","_"))</f>
        <v>demco_table_style</v>
      </c>
      <c r="G5" s="1">
        <f t="shared" si="2"/>
        <v>1</v>
      </c>
      <c r="H5" s="1"/>
      <c r="I5" s="1">
        <f t="shared" si="3"/>
        <v>0</v>
      </c>
      <c r="J5" s="1"/>
      <c r="K5" s="1"/>
      <c r="L5" s="1">
        <f t="shared" si="4"/>
        <v>0</v>
      </c>
      <c r="M5" s="1">
        <f t="shared" si="5"/>
        <v>1</v>
      </c>
      <c r="N5" s="1">
        <f t="shared" si="6"/>
        <v>0</v>
      </c>
      <c r="O5" s="1">
        <f t="shared" si="7"/>
        <v>1</v>
      </c>
      <c r="P5" s="1">
        <f t="shared" si="8"/>
        <v>0</v>
      </c>
      <c r="Q5" s="1">
        <f t="shared" si="8"/>
        <v>0</v>
      </c>
      <c r="R5" s="1"/>
      <c r="S5" s="1">
        <f t="shared" si="9"/>
        <v>1</v>
      </c>
      <c r="T5" s="1">
        <f t="shared" si="9"/>
        <v>1</v>
      </c>
      <c r="U5" s="1">
        <f t="shared" si="9"/>
        <v>1</v>
      </c>
      <c r="V5" s="1">
        <f t="shared" si="10"/>
        <v>0</v>
      </c>
      <c r="W5" s="1">
        <f t="shared" si="10"/>
        <v>0</v>
      </c>
      <c r="X5" s="2" t="s">
        <v>37</v>
      </c>
    </row>
    <row r="6" spans="1:24" x14ac:dyDescent="0.2">
      <c r="A6" s="1" t="s">
        <v>33</v>
      </c>
      <c r="B6" s="1" t="s">
        <v>32</v>
      </c>
      <c r="C6" s="1">
        <f t="shared" si="1"/>
        <v>0</v>
      </c>
      <c r="D6" t="s">
        <v>34</v>
      </c>
      <c r="F6" s="1" t="str">
        <f>LOWER(SUBSTITUTE("demco_"&amp;$A6," ","_"))</f>
        <v>demco_table_height</v>
      </c>
      <c r="G6" s="1">
        <f t="shared" si="2"/>
        <v>1</v>
      </c>
      <c r="I6" s="1">
        <f t="shared" si="3"/>
        <v>0</v>
      </c>
      <c r="L6" s="1">
        <f t="shared" si="4"/>
        <v>0</v>
      </c>
      <c r="M6" s="1">
        <f t="shared" si="5"/>
        <v>1</v>
      </c>
      <c r="N6" s="1">
        <f t="shared" si="6"/>
        <v>0</v>
      </c>
      <c r="O6" s="1">
        <f t="shared" si="7"/>
        <v>1</v>
      </c>
      <c r="P6" s="1">
        <f t="shared" si="8"/>
        <v>0</v>
      </c>
      <c r="Q6" s="1">
        <f t="shared" si="8"/>
        <v>0</v>
      </c>
      <c r="S6" s="1">
        <f t="shared" si="9"/>
        <v>1</v>
      </c>
      <c r="T6" s="1">
        <f t="shared" si="9"/>
        <v>1</v>
      </c>
      <c r="U6" s="1">
        <f t="shared" si="9"/>
        <v>1</v>
      </c>
      <c r="V6" s="1">
        <f t="shared" si="10"/>
        <v>0</v>
      </c>
      <c r="W6" s="1">
        <f t="shared" si="10"/>
        <v>0</v>
      </c>
      <c r="X6" s="2" t="s">
        <v>37</v>
      </c>
    </row>
    <row r="7" spans="1:24" x14ac:dyDescent="0.2">
      <c r="A7" s="1" t="s">
        <v>35</v>
      </c>
      <c r="B7" s="1" t="s">
        <v>32</v>
      </c>
      <c r="C7" s="1">
        <f t="shared" si="1"/>
        <v>0</v>
      </c>
      <c r="D7" t="s">
        <v>36</v>
      </c>
      <c r="F7" s="1" t="str">
        <f>LOWER(SUBSTITUTE("demco_"&amp;$A7," ","_"))</f>
        <v>demco_chair_color</v>
      </c>
      <c r="G7" s="1">
        <f t="shared" si="2"/>
        <v>1</v>
      </c>
      <c r="I7" s="1">
        <f t="shared" si="3"/>
        <v>0</v>
      </c>
      <c r="L7" s="1">
        <f t="shared" si="4"/>
        <v>0</v>
      </c>
      <c r="M7" s="1">
        <f t="shared" si="5"/>
        <v>1</v>
      </c>
      <c r="N7" s="1">
        <f t="shared" si="6"/>
        <v>0</v>
      </c>
      <c r="O7" s="1">
        <f t="shared" si="7"/>
        <v>1</v>
      </c>
      <c r="P7" s="1">
        <f t="shared" si="8"/>
        <v>0</v>
      </c>
      <c r="Q7" s="1">
        <f t="shared" si="8"/>
        <v>0</v>
      </c>
      <c r="S7" s="1">
        <f t="shared" si="9"/>
        <v>1</v>
      </c>
      <c r="T7" s="1">
        <f t="shared" si="9"/>
        <v>1</v>
      </c>
      <c r="U7" s="1">
        <f t="shared" si="9"/>
        <v>1</v>
      </c>
      <c r="V7" s="1">
        <f t="shared" si="10"/>
        <v>0</v>
      </c>
      <c r="W7" s="1">
        <f t="shared" si="10"/>
        <v>0</v>
      </c>
      <c r="X7" s="2" t="s">
        <v>37</v>
      </c>
    </row>
    <row r="8" spans="1:24" x14ac:dyDescent="0.2">
      <c r="A8" s="1" t="s">
        <v>38</v>
      </c>
      <c r="B8" s="1" t="s">
        <v>32</v>
      </c>
      <c r="C8" s="1">
        <f t="shared" si="1"/>
        <v>0</v>
      </c>
      <c r="D8" t="s">
        <v>39</v>
      </c>
      <c r="F8" s="1" t="str">
        <f>LOWER(SUBSTITUTE("demco_"&amp;$A8," ","_"))</f>
        <v>demco_book_support_size</v>
      </c>
      <c r="G8" s="1">
        <f t="shared" si="2"/>
        <v>1</v>
      </c>
      <c r="I8" s="1">
        <f t="shared" si="3"/>
        <v>0</v>
      </c>
      <c r="L8" s="1">
        <f t="shared" si="4"/>
        <v>0</v>
      </c>
      <c r="M8" s="1">
        <f t="shared" si="5"/>
        <v>1</v>
      </c>
      <c r="N8" s="1">
        <f t="shared" si="6"/>
        <v>0</v>
      </c>
      <c r="O8" s="1">
        <f t="shared" si="7"/>
        <v>1</v>
      </c>
      <c r="P8" s="1">
        <f t="shared" si="8"/>
        <v>0</v>
      </c>
      <c r="Q8" s="1">
        <f t="shared" si="8"/>
        <v>0</v>
      </c>
      <c r="S8" s="1">
        <f t="shared" si="9"/>
        <v>1</v>
      </c>
      <c r="T8" s="1">
        <f t="shared" si="9"/>
        <v>1</v>
      </c>
      <c r="U8" s="1">
        <f t="shared" si="9"/>
        <v>1</v>
      </c>
      <c r="V8" s="1">
        <f t="shared" si="10"/>
        <v>0</v>
      </c>
      <c r="W8" s="1">
        <f t="shared" si="10"/>
        <v>0</v>
      </c>
      <c r="X8" s="2" t="s">
        <v>40</v>
      </c>
    </row>
    <row r="9" spans="1:24" x14ac:dyDescent="0.2">
      <c r="A9" s="1" t="s">
        <v>41</v>
      </c>
      <c r="B9" s="1" t="s">
        <v>32</v>
      </c>
      <c r="C9" s="1">
        <f t="shared" si="1"/>
        <v>0</v>
      </c>
      <c r="D9" t="s">
        <v>42</v>
      </c>
      <c r="F9" s="1" t="str">
        <f>LOWER(SUBSTITUTE("demco_"&amp;$A9," ","_"))</f>
        <v>demco_book_support_base_material</v>
      </c>
      <c r="G9" s="1">
        <f t="shared" si="2"/>
        <v>1</v>
      </c>
      <c r="I9" s="1">
        <f t="shared" si="3"/>
        <v>0</v>
      </c>
      <c r="L9" s="1">
        <f t="shared" si="4"/>
        <v>0</v>
      </c>
      <c r="M9" s="1">
        <f t="shared" si="5"/>
        <v>1</v>
      </c>
      <c r="N9" s="1">
        <f t="shared" si="6"/>
        <v>0</v>
      </c>
      <c r="O9" s="1">
        <f t="shared" si="7"/>
        <v>1</v>
      </c>
      <c r="P9" s="1">
        <f t="shared" si="8"/>
        <v>0</v>
      </c>
      <c r="Q9" s="1">
        <f t="shared" si="8"/>
        <v>0</v>
      </c>
      <c r="S9" s="1">
        <f t="shared" si="9"/>
        <v>1</v>
      </c>
      <c r="T9" s="1">
        <f t="shared" si="9"/>
        <v>1</v>
      </c>
      <c r="U9" s="1">
        <f t="shared" si="9"/>
        <v>1</v>
      </c>
      <c r="V9" s="1">
        <f t="shared" si="10"/>
        <v>0</v>
      </c>
      <c r="W9" s="1">
        <f t="shared" si="10"/>
        <v>0</v>
      </c>
      <c r="X9" s="2" t="s">
        <v>40</v>
      </c>
    </row>
    <row r="10" spans="1:24" x14ac:dyDescent="0.2">
      <c r="A10" s="1" t="s">
        <v>43</v>
      </c>
      <c r="B10" s="1" t="s">
        <v>32</v>
      </c>
      <c r="C10" s="1">
        <f t="shared" si="1"/>
        <v>0</v>
      </c>
      <c r="D10" t="s">
        <v>44</v>
      </c>
      <c r="F10" s="1" t="str">
        <f>LOWER(SUBSTITUTE("demco_"&amp;$A10," ","_"))</f>
        <v>demco_book_support_color</v>
      </c>
      <c r="G10" s="1">
        <f t="shared" si="2"/>
        <v>1</v>
      </c>
      <c r="I10" s="1">
        <f t="shared" si="3"/>
        <v>0</v>
      </c>
      <c r="L10" s="1">
        <f t="shared" si="4"/>
        <v>0</v>
      </c>
      <c r="M10" s="1">
        <f t="shared" si="5"/>
        <v>1</v>
      </c>
      <c r="N10" s="1">
        <f t="shared" si="6"/>
        <v>0</v>
      </c>
      <c r="O10" s="1">
        <f t="shared" si="7"/>
        <v>1</v>
      </c>
      <c r="P10" s="1">
        <f t="shared" si="8"/>
        <v>0</v>
      </c>
      <c r="Q10" s="1">
        <f t="shared" si="8"/>
        <v>0</v>
      </c>
      <c r="S10" s="1">
        <f t="shared" si="9"/>
        <v>1</v>
      </c>
      <c r="T10" s="1">
        <f t="shared" si="9"/>
        <v>1</v>
      </c>
      <c r="U10" s="1">
        <f t="shared" si="9"/>
        <v>1</v>
      </c>
      <c r="V10" s="1">
        <f t="shared" si="10"/>
        <v>0</v>
      </c>
      <c r="W10" s="1">
        <f t="shared" si="10"/>
        <v>0</v>
      </c>
      <c r="X10" s="2" t="s">
        <v>40</v>
      </c>
    </row>
    <row r="11" spans="1:24" x14ac:dyDescent="0.2">
      <c r="A11" s="1" t="s">
        <v>45</v>
      </c>
      <c r="B11" s="1" t="s">
        <v>32</v>
      </c>
      <c r="C11" s="1">
        <f t="shared" si="1"/>
        <v>0</v>
      </c>
      <c r="D11" t="s">
        <v>46</v>
      </c>
      <c r="F11" s="1" t="str">
        <f>LOWER(SUBSTITUTE("demco_"&amp;$A11," ","_"))</f>
        <v>demco_shelving_configuration</v>
      </c>
      <c r="G11" s="1">
        <f t="shared" si="2"/>
        <v>1</v>
      </c>
      <c r="I11" s="1">
        <f t="shared" si="3"/>
        <v>0</v>
      </c>
      <c r="L11" s="1">
        <f t="shared" si="4"/>
        <v>0</v>
      </c>
      <c r="M11" s="1">
        <f t="shared" si="5"/>
        <v>1</v>
      </c>
      <c r="N11" s="1">
        <f t="shared" si="6"/>
        <v>0</v>
      </c>
      <c r="O11" s="1">
        <f t="shared" si="7"/>
        <v>1</v>
      </c>
      <c r="P11" s="1">
        <f t="shared" si="8"/>
        <v>0</v>
      </c>
      <c r="Q11" s="1">
        <f t="shared" si="8"/>
        <v>0</v>
      </c>
      <c r="S11" s="1">
        <f t="shared" si="9"/>
        <v>1</v>
      </c>
      <c r="T11" s="1">
        <f t="shared" si="9"/>
        <v>1</v>
      </c>
      <c r="U11" s="1">
        <f t="shared" si="9"/>
        <v>1</v>
      </c>
      <c r="V11" s="1">
        <f t="shared" si="10"/>
        <v>0</v>
      </c>
      <c r="W11" s="1">
        <f t="shared" si="10"/>
        <v>0</v>
      </c>
      <c r="X11" s="2" t="s">
        <v>47</v>
      </c>
    </row>
    <row r="12" spans="1:24" x14ac:dyDescent="0.2">
      <c r="A12" s="1" t="s">
        <v>48</v>
      </c>
      <c r="B12" s="1" t="s">
        <v>32</v>
      </c>
      <c r="C12" s="1">
        <f t="shared" si="1"/>
        <v>0</v>
      </c>
      <c r="D12" t="s">
        <v>49</v>
      </c>
      <c r="F12" s="1" t="str">
        <f>LOWER(SUBSTITUTE("demco_"&amp;$A12," ","_"))</f>
        <v>demco_shelf_size</v>
      </c>
      <c r="G12" s="1">
        <f t="shared" si="2"/>
        <v>1</v>
      </c>
      <c r="I12" s="1">
        <f t="shared" si="3"/>
        <v>0</v>
      </c>
      <c r="L12" s="1">
        <f t="shared" si="4"/>
        <v>0</v>
      </c>
      <c r="M12" s="1">
        <f t="shared" si="5"/>
        <v>1</v>
      </c>
      <c r="N12" s="1">
        <f t="shared" si="6"/>
        <v>0</v>
      </c>
      <c r="O12" s="1">
        <f t="shared" si="7"/>
        <v>1</v>
      </c>
      <c r="P12" s="1">
        <f t="shared" si="8"/>
        <v>0</v>
      </c>
      <c r="Q12" s="1">
        <f t="shared" si="8"/>
        <v>0</v>
      </c>
      <c r="S12" s="1">
        <f t="shared" si="9"/>
        <v>1</v>
      </c>
      <c r="T12" s="1">
        <f t="shared" si="9"/>
        <v>1</v>
      </c>
      <c r="U12" s="1">
        <f t="shared" si="9"/>
        <v>1</v>
      </c>
      <c r="V12" s="1">
        <f t="shared" si="10"/>
        <v>0</v>
      </c>
      <c r="W12" s="1">
        <f t="shared" si="10"/>
        <v>0</v>
      </c>
      <c r="X12" s="2" t="s">
        <v>47</v>
      </c>
    </row>
    <row r="13" spans="1:24" x14ac:dyDescent="0.2">
      <c r="A13" s="1" t="s">
        <v>50</v>
      </c>
      <c r="B13" s="1" t="s">
        <v>32</v>
      </c>
      <c r="C13" s="1">
        <f t="shared" si="1"/>
        <v>0</v>
      </c>
      <c r="D13" t="s">
        <v>51</v>
      </c>
      <c r="F13" s="1" t="str">
        <f>LOWER(SUBSTITUTE("demco_"&amp;$A13," ","_"))</f>
        <v>demco_shelf_depth</v>
      </c>
      <c r="G13" s="1">
        <f t="shared" si="2"/>
        <v>1</v>
      </c>
      <c r="I13" s="1">
        <f t="shared" si="3"/>
        <v>0</v>
      </c>
      <c r="L13" s="1">
        <f t="shared" si="4"/>
        <v>0</v>
      </c>
      <c r="M13" s="1">
        <f t="shared" si="5"/>
        <v>1</v>
      </c>
      <c r="N13" s="1">
        <f t="shared" si="6"/>
        <v>0</v>
      </c>
      <c r="O13" s="1">
        <f t="shared" si="7"/>
        <v>1</v>
      </c>
      <c r="P13" s="1">
        <f t="shared" si="8"/>
        <v>0</v>
      </c>
      <c r="Q13" s="1">
        <f t="shared" si="8"/>
        <v>0</v>
      </c>
      <c r="S13" s="1">
        <f t="shared" si="9"/>
        <v>1</v>
      </c>
      <c r="T13" s="1">
        <f t="shared" si="9"/>
        <v>1</v>
      </c>
      <c r="U13" s="1">
        <f t="shared" si="9"/>
        <v>1</v>
      </c>
      <c r="V13" s="1">
        <f t="shared" si="10"/>
        <v>0</v>
      </c>
      <c r="W13" s="1">
        <f t="shared" si="10"/>
        <v>0</v>
      </c>
      <c r="X13" s="2" t="s">
        <v>47</v>
      </c>
    </row>
    <row r="14" spans="1:24" x14ac:dyDescent="0.2">
      <c r="A14" s="1" t="s">
        <v>52</v>
      </c>
      <c r="B14" s="1" t="s">
        <v>32</v>
      </c>
      <c r="C14" s="1">
        <f t="shared" si="1"/>
        <v>0</v>
      </c>
      <c r="D14" t="s">
        <v>53</v>
      </c>
      <c r="F14" s="1" t="str">
        <f>LOWER(SUBSTITUTE("demco_"&amp;$A14," ","_"))</f>
        <v>demco_label_finish</v>
      </c>
      <c r="G14" s="1">
        <f t="shared" si="2"/>
        <v>1</v>
      </c>
      <c r="I14" s="1">
        <f t="shared" si="3"/>
        <v>0</v>
      </c>
      <c r="L14" s="1">
        <f t="shared" si="4"/>
        <v>0</v>
      </c>
      <c r="M14" s="1">
        <f t="shared" si="5"/>
        <v>1</v>
      </c>
      <c r="N14" s="1">
        <f t="shared" si="6"/>
        <v>0</v>
      </c>
      <c r="O14" s="1">
        <f t="shared" si="7"/>
        <v>1</v>
      </c>
      <c r="P14" s="1">
        <f t="shared" si="8"/>
        <v>0</v>
      </c>
      <c r="Q14" s="1">
        <f t="shared" si="8"/>
        <v>0</v>
      </c>
      <c r="S14" s="1">
        <f t="shared" si="9"/>
        <v>1</v>
      </c>
      <c r="T14" s="1">
        <f t="shared" si="9"/>
        <v>1</v>
      </c>
      <c r="U14" s="1">
        <f t="shared" si="9"/>
        <v>1</v>
      </c>
      <c r="V14" s="1">
        <f t="shared" si="10"/>
        <v>0</v>
      </c>
      <c r="W14" s="1">
        <f t="shared" si="10"/>
        <v>0</v>
      </c>
      <c r="X14" s="2" t="s">
        <v>54</v>
      </c>
    </row>
    <row r="15" spans="1:24" x14ac:dyDescent="0.2">
      <c r="A15" s="1" t="s">
        <v>55</v>
      </c>
      <c r="B15" s="1" t="s">
        <v>32</v>
      </c>
      <c r="C15" s="1">
        <f t="shared" si="1"/>
        <v>0</v>
      </c>
      <c r="D15" t="s">
        <v>56</v>
      </c>
      <c r="F15" s="1" t="str">
        <f>LOWER(SUBSTITUTE("demco_"&amp;$A15," ","_"))</f>
        <v>demco_label_position</v>
      </c>
      <c r="G15" s="1">
        <f t="shared" si="2"/>
        <v>1</v>
      </c>
      <c r="I15" s="1">
        <f t="shared" si="3"/>
        <v>0</v>
      </c>
      <c r="L15" s="1">
        <f t="shared" si="4"/>
        <v>0</v>
      </c>
      <c r="M15" s="1">
        <f t="shared" si="5"/>
        <v>1</v>
      </c>
      <c r="N15" s="1">
        <f t="shared" si="6"/>
        <v>0</v>
      </c>
      <c r="O15" s="1">
        <f t="shared" si="7"/>
        <v>1</v>
      </c>
      <c r="P15" s="1">
        <f t="shared" si="8"/>
        <v>0</v>
      </c>
      <c r="Q15" s="1">
        <f t="shared" si="8"/>
        <v>0</v>
      </c>
      <c r="S15" s="1">
        <f t="shared" si="9"/>
        <v>1</v>
      </c>
      <c r="T15" s="1">
        <f t="shared" si="9"/>
        <v>1</v>
      </c>
      <c r="U15" s="1">
        <f t="shared" si="9"/>
        <v>1</v>
      </c>
      <c r="V15" s="1">
        <f t="shared" si="10"/>
        <v>0</v>
      </c>
      <c r="W15" s="1">
        <f t="shared" si="10"/>
        <v>0</v>
      </c>
      <c r="X15" s="2" t="s">
        <v>54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attributes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Kukla</dc:creator>
  <cp:lastModifiedBy>Steve Kukla</cp:lastModifiedBy>
  <dcterms:created xsi:type="dcterms:W3CDTF">2018-07-03T17:46:48Z</dcterms:created>
  <dcterms:modified xsi:type="dcterms:W3CDTF">2018-07-03T22:05:03Z</dcterms:modified>
</cp:coreProperties>
</file>